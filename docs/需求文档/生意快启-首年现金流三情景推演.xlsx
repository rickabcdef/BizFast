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悲观情景" sheetId="3" state="visible" r:id="rId3"/>
    <sheet xmlns:r="http://schemas.openxmlformats.org/officeDocument/2006/relationships" name="中性情景" sheetId="4" state="visible" r:id="rId4"/>
    <sheet xmlns:r="http://schemas.openxmlformats.org/officeDocument/2006/relationships" name="乐观情景" sheetId="5" state="visible" r:id="rId5"/>
    <sheet xmlns:r="http://schemas.openxmlformats.org/officeDocument/2006/relationships" name="三情景对比" sheetId="6" state="visible" r:id="rId6"/>
    <sheet xmlns:r="http://schemas.openxmlformats.org/officeDocument/2006/relationships" name="打平计算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sz val="10"/>
    </font>
    <font>
      <name val="微软雅黑"/>
      <sz val="10"/>
    </font>
    <font>
      <name val="微软雅黑"/>
      <color rgb="00595959"/>
      <sz val="10"/>
    </font>
    <font>
      <name val="微软雅黑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2" fillId="4" borderId="1" pivotButton="0" quotePrefix="0" xfId="0"/>
    <xf numFmtId="3" fontId="2" fillId="4" borderId="1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workbookViewId="0">
      <selection activeCell="A1" sqref="A1"/>
    </sheetView>
  </sheetViews>
  <sheetFormatPr baseColWidth="8" defaultRowHeight="15"/>
  <cols>
    <col width="6" customWidth="1" min="1" max="1"/>
    <col width="96" customWidth="1" min="2" max="2"/>
  </cols>
  <sheetData>
    <row r="1">
      <c r="B1" s="1" t="inlineStr">
        <is>
          <t>生意快启 · 首年现金流三情景推演</t>
        </is>
      </c>
    </row>
    <row r="3">
      <c r="B3" s="2" t="inlineStr"/>
    </row>
    <row r="4">
      <c r="B4" s="2" t="inlineStr">
        <is>
          <t>这份表回答一个问题：产品做出来之后，钱从哪里来、多久能回本。</t>
        </is>
      </c>
    </row>
    <row r="5">
      <c r="B5" s="2" t="inlineStr"/>
    </row>
    <row r="6">
      <c r="B6" s="3" t="inlineStr">
        <is>
          <t>【怎么用】</t>
        </is>
      </c>
    </row>
    <row r="7">
      <c r="B7" s="2" t="inlineStr">
        <is>
          <t>1. 先看「三情景对比」：一眼看清三种结果的差距。</t>
        </is>
      </c>
    </row>
    <row r="8">
      <c r="B8" s="2" t="inlineStr">
        <is>
          <t>2. 再看「打平计算器」：算出你每月至少要有多少访客才不亏钱。</t>
        </is>
      </c>
    </row>
    <row r="9">
      <c r="B9" s="2" t="inlineStr">
        <is>
          <t>3. 然后改「悲观 / 中性 / 乐观」三个工作表里的黄色格子。</t>
        </is>
      </c>
    </row>
    <row r="10">
      <c r="B10" s="2" t="inlineStr">
        <is>
          <t>4. 最后回到「参数」表调整单价与成本，全表自动重算。</t>
        </is>
      </c>
    </row>
    <row r="11">
      <c r="B11" s="2" t="inlineStr"/>
    </row>
    <row r="12">
      <c r="B12" s="3" t="inlineStr">
        <is>
          <t>【颜色说明】</t>
        </is>
      </c>
    </row>
    <row r="13">
      <c r="B13" s="2" t="inlineStr">
        <is>
          <t>黄色 = 你可以改的输入值；橙色 = 成本发生变化的月份；蓝色 = 表头。</t>
        </is>
      </c>
    </row>
    <row r="14">
      <c r="B14" s="2" t="inlineStr"/>
    </row>
    <row r="15">
      <c r="B15" s="3" t="inlineStr">
        <is>
          <t>【三个必须记住的结论】</t>
        </is>
      </c>
    </row>
    <row r="16">
      <c r="B16" s="2" t="inlineStr">
        <is>
          <t>一、三种情景的差别 100% 来自「月访客数 × 转化率」，与代码写得多快完全无关。</t>
        </is>
      </c>
    </row>
    <row r="17">
      <c r="B17" s="2" t="inlineStr">
        <is>
          <t>二、客单价在三个情景里只差 1.75 倍，月营收却差 40 倍——差距全部由获客和转化拉开。</t>
        </is>
      </c>
    </row>
    <row r="18">
      <c r="B18" s="2" t="inlineStr">
        <is>
          <t>三、你的第一个经营目标不是「做多少功能」，而是「一个月拿到 1,000 个真实访客」。</t>
        </is>
      </c>
    </row>
    <row r="19">
      <c r="B19" s="2" t="inlineStr"/>
    </row>
    <row r="20">
      <c r="B20" s="3" t="inlineStr">
        <is>
          <t>【AI 给你的真正礼物】</t>
        </is>
      </c>
    </row>
    <row r="21">
      <c r="B21" s="2" t="inlineStr">
        <is>
          <t>是省下来的那 2 个月。这 2 个月花在加功能上，你会落进悲观情景；</t>
        </is>
      </c>
    </row>
    <row r="22">
      <c r="B22" s="2" t="inlineStr">
        <is>
          <t>花在获客和验证上，才有机会进入中性和乐观。</t>
        </is>
      </c>
    </row>
    <row r="23">
      <c r="B23" s="2" t="inlineStr"/>
    </row>
    <row r="24">
      <c r="B24" s="3" t="inlineStr">
        <is>
          <t>【数据口径】</t>
        </is>
      </c>
    </row>
    <row r="25">
      <c r="B25" s="2" t="inlineStr">
        <is>
          <t>所有行业基准值见「参数」表下半部分，来源已在《现金流推演与认知修正 V1.0》附录 A 逐条列出。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8" customWidth="1" min="3" max="3"/>
  </cols>
  <sheetData>
    <row r="1">
      <c r="A1" s="1" t="inlineStr">
        <is>
          <t>参数与假设（黄色可改）</t>
        </is>
      </c>
    </row>
    <row r="3">
      <c r="A3" s="3" t="inlineStr">
        <is>
          <t>单笔变动成本（元/单）</t>
        </is>
      </c>
      <c r="B3" s="4" t="n">
        <v>3</v>
      </c>
      <c r="C3" s="5" t="inlineStr">
        <is>
          <t>AI 生成成本，见《产品需求文档》第 15 章成本模型</t>
        </is>
      </c>
    </row>
    <row r="4">
      <c r="A4" s="3" t="inlineStr">
        <is>
          <t>月固定成本·基础（元）</t>
        </is>
      </c>
      <c r="B4" s="4" t="n">
        <v>1200</v>
      </c>
      <c r="C4" s="5" t="inlineStr">
        <is>
          <t>AI 工具订阅 + 服务器 + 域名；参考独立开发者约 120 美元/月</t>
        </is>
      </c>
    </row>
    <row r="5">
      <c r="A5" s="3" t="inlineStr">
        <is>
          <t>月固定成本·加大投入（元）</t>
        </is>
      </c>
      <c r="B5" s="4" t="n">
        <v>3500</v>
      </c>
      <c r="C5" s="5" t="inlineStr">
        <is>
          <t>第 7 个月起（乐观情景）</t>
        </is>
      </c>
    </row>
    <row r="6">
      <c r="A6" s="3" t="inlineStr">
        <is>
          <t>定价·体验包（元）</t>
        </is>
      </c>
      <c r="B6" s="4" t="n">
        <v>29.9</v>
      </c>
      <c r="C6" s="5" t="inlineStr">
        <is>
          <t>单次启动包</t>
        </is>
      </c>
    </row>
    <row r="7">
      <c r="A7" s="3" t="inlineStr">
        <is>
          <t>定价·月度会员（元）</t>
        </is>
      </c>
      <c r="B7" s="4" t="n">
        <v>99</v>
      </c>
      <c r="C7" s="5" t="inlineStr">
        <is>
          <t>AI 合伙人</t>
        </is>
      </c>
    </row>
    <row r="8">
      <c r="A8" s="3" t="inlineStr">
        <is>
          <t>定价·年度会员（元）</t>
        </is>
      </c>
      <c r="B8" s="4" t="n">
        <v>599</v>
      </c>
      <c r="C8" s="5" t="inlineStr">
        <is>
          <t>创业全程陪跑</t>
        </is>
      </c>
    </row>
    <row r="11">
      <c r="A11" s="1" t="inlineStr">
        <is>
          <t>行业基准（供对照）</t>
        </is>
      </c>
    </row>
    <row r="12">
      <c r="A12" s="2" t="inlineStr">
        <is>
          <t>消费端 AI 付费转化率</t>
        </is>
      </c>
      <c r="B12" s="3" t="inlineStr">
        <is>
          <t>9.2%</t>
        </is>
      </c>
      <c r="C12" s="5" t="inlineStr">
        <is>
          <t>a16z 第七版，全球口径；企业端为 45%</t>
        </is>
      </c>
    </row>
    <row r="13">
      <c r="A13" s="2" t="inlineStr">
        <is>
          <t>AI 应用年度留存率</t>
        </is>
      </c>
      <c r="B13" s="3" t="inlineStr">
        <is>
          <t>21.1%</t>
        </is>
      </c>
      <c r="C13" s="5" t="inlineStr">
        <is>
          <t>RevenueCat 2026；非 AI 应用为 30.7%</t>
        </is>
      </c>
    </row>
    <row r="14">
      <c r="A14" s="2" t="inlineStr">
        <is>
          <t>独立开发者月入 &lt;1000 美元占比</t>
        </is>
      </c>
      <c r="B14" s="3" t="inlineStr">
        <is>
          <t>85%</t>
        </is>
      </c>
      <c r="C14" s="5" t="inlineStr">
        <is>
          <t>Indie Hackers 2026</t>
        </is>
      </c>
    </row>
    <row r="15">
      <c r="A15" s="2" t="inlineStr">
        <is>
          <t>从开始到月入 1000 美元平均耗时</t>
        </is>
      </c>
      <c r="B15" s="3" t="inlineStr">
        <is>
          <t>8 个月</t>
        </is>
      </c>
      <c r="C15" s="5" t="inlineStr">
        <is>
          <t>Indie Hackers 2026</t>
        </is>
      </c>
    </row>
    <row r="16">
      <c r="A16" s="2" t="inlineStr">
        <is>
          <t>小微经营者现金流维持时间</t>
        </is>
      </c>
      <c r="B16" s="3" t="inlineStr">
        <is>
          <t>2.9 个月</t>
        </is>
      </c>
      <c r="C16" s="5" t="inlineStr">
        <is>
          <t>北大《中国小微经营者调查》</t>
        </is>
      </c>
    </row>
    <row r="17">
      <c r="A17" s="2" t="inlineStr">
        <is>
          <t>失败项目死于「零用户」比例</t>
        </is>
      </c>
      <c r="B17" s="3" t="inlineStr">
        <is>
          <t>68%</t>
        </is>
      </c>
      <c r="C17" s="5" t="inlineStr">
        <is>
          <t>Stripe Atlas 2026，2000+ 独立开发者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1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4" customWidth="1" min="12" max="12"/>
  </cols>
  <sheetData>
    <row r="1">
      <c r="B1" s="1" t="inlineStr">
        <is>
          <t>悲观情景　12 个月现金流推演</t>
        </is>
      </c>
    </row>
    <row r="2">
      <c r="B2" s="5" t="inlineStr">
        <is>
          <t>内容未起量，靠零星转发；转化率 1.5%；绝大多数只买 29.9 元体验包。对应约 85% 的独立开发者。</t>
        </is>
      </c>
    </row>
    <row r="3">
      <c r="B3" s="5" t="inlineStr">
        <is>
          <t>黄色格子可直接修改，其余为公式自动计算</t>
        </is>
      </c>
    </row>
    <row r="5">
      <c r="B5" s="6" t="inlineStr">
        <is>
          <t>月份</t>
        </is>
      </c>
      <c r="C5" s="6" t="inlineStr">
        <is>
          <t>月访客数</t>
        </is>
      </c>
      <c r="D5" s="6" t="inlineStr">
        <is>
          <t>付费转化率</t>
        </is>
      </c>
      <c r="E5" s="6" t="inlineStr">
        <is>
          <t>付费人数</t>
        </is>
      </c>
      <c r="F5" s="6" t="inlineStr">
        <is>
          <t>客单价(元)</t>
        </is>
      </c>
      <c r="G5" s="6" t="inlineStr">
        <is>
          <t>月营收(元)</t>
        </is>
      </c>
      <c r="H5" s="6" t="inlineStr">
        <is>
          <t>固定成本(元)</t>
        </is>
      </c>
      <c r="I5" s="6" t="inlineStr">
        <is>
          <t>变动成本(元)</t>
        </is>
      </c>
      <c r="J5" s="6" t="inlineStr">
        <is>
          <t>月成本(元)</t>
        </is>
      </c>
      <c r="K5" s="6" t="inlineStr">
        <is>
          <t>月现金流(元)</t>
        </is>
      </c>
      <c r="L5" s="6" t="inlineStr">
        <is>
          <t>累计现金流(元)</t>
        </is>
      </c>
    </row>
    <row r="6">
      <c r="B6" s="7" t="inlineStr">
        <is>
          <t>第 1 月</t>
        </is>
      </c>
      <c r="C6" s="8" t="n">
        <v>200</v>
      </c>
      <c r="D6" s="9" t="n">
        <v>0.015</v>
      </c>
      <c r="E6" s="7">
        <f>ROUND(C6*D6,0)</f>
        <v/>
      </c>
      <c r="F6" s="8" t="n">
        <v>40</v>
      </c>
      <c r="G6" s="7">
        <f>E6*F6</f>
        <v/>
      </c>
      <c r="H6" s="8" t="n">
        <v>1200</v>
      </c>
      <c r="I6" s="7">
        <f>E6*参数!$B$3</f>
        <v/>
      </c>
      <c r="J6" s="7">
        <f>H6+I6</f>
        <v/>
      </c>
      <c r="K6" s="10">
        <f>G6-J6</f>
        <v/>
      </c>
      <c r="L6" s="10">
        <f>SUM($K$6:K6)</f>
        <v/>
      </c>
    </row>
    <row r="7">
      <c r="B7" s="7" t="inlineStr">
        <is>
          <t>第 2 月</t>
        </is>
      </c>
      <c r="C7" s="8" t="n">
        <v>260</v>
      </c>
      <c r="D7" s="9" t="n">
        <v>0.015</v>
      </c>
      <c r="E7" s="7">
        <f>ROUND(C7*D7,0)</f>
        <v/>
      </c>
      <c r="F7" s="8" t="n">
        <v>40</v>
      </c>
      <c r="G7" s="7">
        <f>E7*F7</f>
        <v/>
      </c>
      <c r="H7" s="8" t="n">
        <v>1200</v>
      </c>
      <c r="I7" s="7">
        <f>E7*参数!$B$3</f>
        <v/>
      </c>
      <c r="J7" s="7">
        <f>H7+I7</f>
        <v/>
      </c>
      <c r="K7" s="10">
        <f>G7-J7</f>
        <v/>
      </c>
      <c r="L7" s="10">
        <f>SUM($K$6:K7)</f>
        <v/>
      </c>
    </row>
    <row r="8">
      <c r="B8" s="7" t="inlineStr">
        <is>
          <t>第 3 月</t>
        </is>
      </c>
      <c r="C8" s="8" t="n">
        <v>350</v>
      </c>
      <c r="D8" s="9" t="n">
        <v>0.015</v>
      </c>
      <c r="E8" s="7">
        <f>ROUND(C8*D8,0)</f>
        <v/>
      </c>
      <c r="F8" s="8" t="n">
        <v>40</v>
      </c>
      <c r="G8" s="7">
        <f>E8*F8</f>
        <v/>
      </c>
      <c r="H8" s="8" t="n">
        <v>1200</v>
      </c>
      <c r="I8" s="7">
        <f>E8*参数!$B$3</f>
        <v/>
      </c>
      <c r="J8" s="7">
        <f>H8+I8</f>
        <v/>
      </c>
      <c r="K8" s="10">
        <f>G8-J8</f>
        <v/>
      </c>
      <c r="L8" s="10">
        <f>SUM($K$6:K8)</f>
        <v/>
      </c>
    </row>
    <row r="9">
      <c r="B9" s="7" t="inlineStr">
        <is>
          <t>第 4 月</t>
        </is>
      </c>
      <c r="C9" s="8" t="n">
        <v>450</v>
      </c>
      <c r="D9" s="9" t="n">
        <v>0.015</v>
      </c>
      <c r="E9" s="7">
        <f>ROUND(C9*D9,0)</f>
        <v/>
      </c>
      <c r="F9" s="8" t="n">
        <v>40</v>
      </c>
      <c r="G9" s="7">
        <f>E9*F9</f>
        <v/>
      </c>
      <c r="H9" s="8" t="n">
        <v>1200</v>
      </c>
      <c r="I9" s="7">
        <f>E9*参数!$B$3</f>
        <v/>
      </c>
      <c r="J9" s="7">
        <f>H9+I9</f>
        <v/>
      </c>
      <c r="K9" s="10">
        <f>G9-J9</f>
        <v/>
      </c>
      <c r="L9" s="10">
        <f>SUM($K$6:K9)</f>
        <v/>
      </c>
    </row>
    <row r="10">
      <c r="B10" s="7" t="inlineStr">
        <is>
          <t>第 5 月</t>
        </is>
      </c>
      <c r="C10" s="8" t="n">
        <v>560</v>
      </c>
      <c r="D10" s="9" t="n">
        <v>0.015</v>
      </c>
      <c r="E10" s="7">
        <f>ROUND(C10*D10,0)</f>
        <v/>
      </c>
      <c r="F10" s="8" t="n">
        <v>40</v>
      </c>
      <c r="G10" s="7">
        <f>E10*F10</f>
        <v/>
      </c>
      <c r="H10" s="8" t="n">
        <v>1200</v>
      </c>
      <c r="I10" s="7">
        <f>E10*参数!$B$3</f>
        <v/>
      </c>
      <c r="J10" s="7">
        <f>H10+I10</f>
        <v/>
      </c>
      <c r="K10" s="10">
        <f>G10-J10</f>
        <v/>
      </c>
      <c r="L10" s="10">
        <f>SUM($K$6:K10)</f>
        <v/>
      </c>
    </row>
    <row r="11">
      <c r="B11" s="7" t="inlineStr">
        <is>
          <t>第 6 月</t>
        </is>
      </c>
      <c r="C11" s="8" t="n">
        <v>700</v>
      </c>
      <c r="D11" s="9" t="n">
        <v>0.015</v>
      </c>
      <c r="E11" s="7">
        <f>ROUND(C11*D11,0)</f>
        <v/>
      </c>
      <c r="F11" s="8" t="n">
        <v>40</v>
      </c>
      <c r="G11" s="7">
        <f>E11*F11</f>
        <v/>
      </c>
      <c r="H11" s="8" t="n">
        <v>1200</v>
      </c>
      <c r="I11" s="7">
        <f>E11*参数!$B$3</f>
        <v/>
      </c>
      <c r="J11" s="7">
        <f>H11+I11</f>
        <v/>
      </c>
      <c r="K11" s="10">
        <f>G11-J11</f>
        <v/>
      </c>
      <c r="L11" s="10">
        <f>SUM($K$6:K11)</f>
        <v/>
      </c>
    </row>
    <row r="12">
      <c r="B12" s="7" t="inlineStr">
        <is>
          <t>第 7 月</t>
        </is>
      </c>
      <c r="C12" s="8" t="n">
        <v>820</v>
      </c>
      <c r="D12" s="9" t="n">
        <v>0.015</v>
      </c>
      <c r="E12" s="7">
        <f>ROUND(C12*D12,0)</f>
        <v/>
      </c>
      <c r="F12" s="8" t="n">
        <v>40</v>
      </c>
      <c r="G12" s="7">
        <f>E12*F12</f>
        <v/>
      </c>
      <c r="H12" s="8" t="n">
        <v>1200</v>
      </c>
      <c r="I12" s="7">
        <f>E12*参数!$B$3</f>
        <v/>
      </c>
      <c r="J12" s="7">
        <f>H12+I12</f>
        <v/>
      </c>
      <c r="K12" s="10">
        <f>G12-J12</f>
        <v/>
      </c>
      <c r="L12" s="10">
        <f>SUM($K$6:K12)</f>
        <v/>
      </c>
    </row>
    <row r="13">
      <c r="B13" s="7" t="inlineStr">
        <is>
          <t>第 8 月</t>
        </is>
      </c>
      <c r="C13" s="8" t="n">
        <v>950</v>
      </c>
      <c r="D13" s="9" t="n">
        <v>0.015</v>
      </c>
      <c r="E13" s="7">
        <f>ROUND(C13*D13,0)</f>
        <v/>
      </c>
      <c r="F13" s="8" t="n">
        <v>40</v>
      </c>
      <c r="G13" s="7">
        <f>E13*F13</f>
        <v/>
      </c>
      <c r="H13" s="8" t="n">
        <v>1200</v>
      </c>
      <c r="I13" s="7">
        <f>E13*参数!$B$3</f>
        <v/>
      </c>
      <c r="J13" s="7">
        <f>H13+I13</f>
        <v/>
      </c>
      <c r="K13" s="10">
        <f>G13-J13</f>
        <v/>
      </c>
      <c r="L13" s="10">
        <f>SUM($K$6:K13)</f>
        <v/>
      </c>
    </row>
    <row r="14">
      <c r="B14" s="7" t="inlineStr">
        <is>
          <t>第 9 月</t>
        </is>
      </c>
      <c r="C14" s="8" t="n">
        <v>1050</v>
      </c>
      <c r="D14" s="9" t="n">
        <v>0.015</v>
      </c>
      <c r="E14" s="7">
        <f>ROUND(C14*D14,0)</f>
        <v/>
      </c>
      <c r="F14" s="8" t="n">
        <v>40</v>
      </c>
      <c r="G14" s="7">
        <f>E14*F14</f>
        <v/>
      </c>
      <c r="H14" s="8" t="n">
        <v>1200</v>
      </c>
      <c r="I14" s="7">
        <f>E14*参数!$B$3</f>
        <v/>
      </c>
      <c r="J14" s="7">
        <f>H14+I14</f>
        <v/>
      </c>
      <c r="K14" s="10">
        <f>G14-J14</f>
        <v/>
      </c>
      <c r="L14" s="10">
        <f>SUM($K$6:K14)</f>
        <v/>
      </c>
    </row>
    <row r="15">
      <c r="B15" s="7" t="inlineStr">
        <is>
          <t>第 10 月</t>
        </is>
      </c>
      <c r="C15" s="8" t="n">
        <v>1130</v>
      </c>
      <c r="D15" s="9" t="n">
        <v>0.015</v>
      </c>
      <c r="E15" s="7">
        <f>ROUND(C15*D15,0)</f>
        <v/>
      </c>
      <c r="F15" s="8" t="n">
        <v>40</v>
      </c>
      <c r="G15" s="7">
        <f>E15*F15</f>
        <v/>
      </c>
      <c r="H15" s="8" t="n">
        <v>1200</v>
      </c>
      <c r="I15" s="7">
        <f>E15*参数!$B$3</f>
        <v/>
      </c>
      <c r="J15" s="7">
        <f>H15+I15</f>
        <v/>
      </c>
      <c r="K15" s="10">
        <f>G15-J15</f>
        <v/>
      </c>
      <c r="L15" s="10">
        <f>SUM($K$6:K15)</f>
        <v/>
      </c>
    </row>
    <row r="16">
      <c r="B16" s="7" t="inlineStr">
        <is>
          <t>第 11 月</t>
        </is>
      </c>
      <c r="C16" s="8" t="n">
        <v>1180</v>
      </c>
      <c r="D16" s="9" t="n">
        <v>0.015</v>
      </c>
      <c r="E16" s="7">
        <f>ROUND(C16*D16,0)</f>
        <v/>
      </c>
      <c r="F16" s="8" t="n">
        <v>40</v>
      </c>
      <c r="G16" s="7">
        <f>E16*F16</f>
        <v/>
      </c>
      <c r="H16" s="8" t="n">
        <v>1200</v>
      </c>
      <c r="I16" s="7">
        <f>E16*参数!$B$3</f>
        <v/>
      </c>
      <c r="J16" s="7">
        <f>H16+I16</f>
        <v/>
      </c>
      <c r="K16" s="10">
        <f>G16-J16</f>
        <v/>
      </c>
      <c r="L16" s="10">
        <f>SUM($K$6:K16)</f>
        <v/>
      </c>
    </row>
    <row r="17">
      <c r="B17" s="7" t="inlineStr">
        <is>
          <t>第 12 月</t>
        </is>
      </c>
      <c r="C17" s="8" t="n">
        <v>1200</v>
      </c>
      <c r="D17" s="9" t="n">
        <v>0.015</v>
      </c>
      <c r="E17" s="7">
        <f>ROUND(C17*D17,0)</f>
        <v/>
      </c>
      <c r="F17" s="8" t="n">
        <v>40</v>
      </c>
      <c r="G17" s="7">
        <f>E17*F17</f>
        <v/>
      </c>
      <c r="H17" s="8" t="n">
        <v>1200</v>
      </c>
      <c r="I17" s="7">
        <f>E17*参数!$B$3</f>
        <v/>
      </c>
      <c r="J17" s="7">
        <f>H17+I17</f>
        <v/>
      </c>
      <c r="K17" s="10">
        <f>G17-J17</f>
        <v/>
      </c>
      <c r="L17" s="10">
        <f>SUM($K$6:K17)</f>
        <v/>
      </c>
    </row>
    <row r="18">
      <c r="B18" s="11" t="inlineStr">
        <is>
          <t>全年合计</t>
        </is>
      </c>
      <c r="E18" s="11">
        <f>SUM(E6:E17)</f>
        <v/>
      </c>
      <c r="G18" s="12">
        <f>SUM(G6:G17)</f>
        <v/>
      </c>
      <c r="J18" s="12">
        <f>SUM(J6:J17)</f>
        <v/>
      </c>
      <c r="K18" s="12">
        <f>SUM(K6:K17)</f>
        <v/>
      </c>
    </row>
    <row r="20">
      <c r="B20" s="3" t="inlineStr">
        <is>
          <t>结论</t>
        </is>
      </c>
      <c r="C20" s="13">
        <f>"首年总营收 "&amp;TEXT(G18,"#,##0")&amp;" 元　｜　首年净现金流 "&amp;TEXT(K18,"#,##0")&amp;" 元"</f>
        <v/>
      </c>
    </row>
    <row r="21">
      <c r="C21" s="2">
        <f>"累计现金流转正时点："&amp;IF(COUNTIF(L6:L17,"&gt;0")=0,"始终为负",INDEX(B6:B17,MATCH(TRUE,INDEX(L6:L17&gt;0,0),0))&amp;"（第 "&amp;MATCH(TRUE,INDEX(L6:L17&gt;0,0),0)&amp;" 个月）")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1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4" customWidth="1" min="12" max="12"/>
  </cols>
  <sheetData>
    <row r="1">
      <c r="B1" s="1" t="inlineStr">
        <is>
          <t>中性情景　12 个月现金流推演</t>
        </is>
      </c>
    </row>
    <row r="2">
      <c r="B2" s="5" t="inlineStr">
        <is>
          <t>内容稳定产出（每周 2—3 篇），裂变开始起作用；转化率 2.2%；部分用户升级月卡。对应约 10%。</t>
        </is>
      </c>
    </row>
    <row r="3">
      <c r="B3" s="5" t="inlineStr">
        <is>
          <t>黄色格子可直接修改，其余为公式自动计算</t>
        </is>
      </c>
    </row>
    <row r="5">
      <c r="B5" s="6" t="inlineStr">
        <is>
          <t>月份</t>
        </is>
      </c>
      <c r="C5" s="6" t="inlineStr">
        <is>
          <t>月访客数</t>
        </is>
      </c>
      <c r="D5" s="6" t="inlineStr">
        <is>
          <t>付费转化率</t>
        </is>
      </c>
      <c r="E5" s="6" t="inlineStr">
        <is>
          <t>付费人数</t>
        </is>
      </c>
      <c r="F5" s="6" t="inlineStr">
        <is>
          <t>客单价(元)</t>
        </is>
      </c>
      <c r="G5" s="6" t="inlineStr">
        <is>
          <t>月营收(元)</t>
        </is>
      </c>
      <c r="H5" s="6" t="inlineStr">
        <is>
          <t>固定成本(元)</t>
        </is>
      </c>
      <c r="I5" s="6" t="inlineStr">
        <is>
          <t>变动成本(元)</t>
        </is>
      </c>
      <c r="J5" s="6" t="inlineStr">
        <is>
          <t>月成本(元)</t>
        </is>
      </c>
      <c r="K5" s="6" t="inlineStr">
        <is>
          <t>月现金流(元)</t>
        </is>
      </c>
      <c r="L5" s="6" t="inlineStr">
        <is>
          <t>累计现金流(元)</t>
        </is>
      </c>
    </row>
    <row r="6">
      <c r="B6" s="7" t="inlineStr">
        <is>
          <t>第 1 月</t>
        </is>
      </c>
      <c r="C6" s="8" t="n">
        <v>400</v>
      </c>
      <c r="D6" s="9" t="n">
        <v>0.022</v>
      </c>
      <c r="E6" s="7">
        <f>ROUND(C6*D6,0)</f>
        <v/>
      </c>
      <c r="F6" s="8" t="n">
        <v>55</v>
      </c>
      <c r="G6" s="7">
        <f>E6*F6</f>
        <v/>
      </c>
      <c r="H6" s="8" t="n">
        <v>1200</v>
      </c>
      <c r="I6" s="7">
        <f>E6*参数!$B$3</f>
        <v/>
      </c>
      <c r="J6" s="7">
        <f>H6+I6</f>
        <v/>
      </c>
      <c r="K6" s="10">
        <f>G6-J6</f>
        <v/>
      </c>
      <c r="L6" s="10">
        <f>SUM($K$6:K6)</f>
        <v/>
      </c>
    </row>
    <row r="7">
      <c r="B7" s="7" t="inlineStr">
        <is>
          <t>第 2 月</t>
        </is>
      </c>
      <c r="C7" s="8" t="n">
        <v>520</v>
      </c>
      <c r="D7" s="9" t="n">
        <v>0.022</v>
      </c>
      <c r="E7" s="7">
        <f>ROUND(C7*D7,0)</f>
        <v/>
      </c>
      <c r="F7" s="8" t="n">
        <v>55</v>
      </c>
      <c r="G7" s="7">
        <f>E7*F7</f>
        <v/>
      </c>
      <c r="H7" s="8" t="n">
        <v>1200</v>
      </c>
      <c r="I7" s="7">
        <f>E7*参数!$B$3</f>
        <v/>
      </c>
      <c r="J7" s="7">
        <f>H7+I7</f>
        <v/>
      </c>
      <c r="K7" s="10">
        <f>G7-J7</f>
        <v/>
      </c>
      <c r="L7" s="10">
        <f>SUM($K$6:K7)</f>
        <v/>
      </c>
    </row>
    <row r="8">
      <c r="B8" s="7" t="inlineStr">
        <is>
          <t>第 3 月</t>
        </is>
      </c>
      <c r="C8" s="8" t="n">
        <v>650</v>
      </c>
      <c r="D8" s="9" t="n">
        <v>0.022</v>
      </c>
      <c r="E8" s="7">
        <f>ROUND(C8*D8,0)</f>
        <v/>
      </c>
      <c r="F8" s="8" t="n">
        <v>55</v>
      </c>
      <c r="G8" s="7">
        <f>E8*F8</f>
        <v/>
      </c>
      <c r="H8" s="8" t="n">
        <v>1200</v>
      </c>
      <c r="I8" s="7">
        <f>E8*参数!$B$3</f>
        <v/>
      </c>
      <c r="J8" s="7">
        <f>H8+I8</f>
        <v/>
      </c>
      <c r="K8" s="10">
        <f>G8-J8</f>
        <v/>
      </c>
      <c r="L8" s="10">
        <f>SUM($K$6:K8)</f>
        <v/>
      </c>
    </row>
    <row r="9">
      <c r="B9" s="7" t="inlineStr">
        <is>
          <t>第 4 月</t>
        </is>
      </c>
      <c r="C9" s="8" t="n">
        <v>900</v>
      </c>
      <c r="D9" s="9" t="n">
        <v>0.022</v>
      </c>
      <c r="E9" s="7">
        <f>ROUND(C9*D9,0)</f>
        <v/>
      </c>
      <c r="F9" s="8" t="n">
        <v>55</v>
      </c>
      <c r="G9" s="7">
        <f>E9*F9</f>
        <v/>
      </c>
      <c r="H9" s="8" t="n">
        <v>1200</v>
      </c>
      <c r="I9" s="7">
        <f>E9*参数!$B$3</f>
        <v/>
      </c>
      <c r="J9" s="7">
        <f>H9+I9</f>
        <v/>
      </c>
      <c r="K9" s="10">
        <f>G9-J9</f>
        <v/>
      </c>
      <c r="L9" s="10">
        <f>SUM($K$6:K9)</f>
        <v/>
      </c>
    </row>
    <row r="10">
      <c r="B10" s="7" t="inlineStr">
        <is>
          <t>第 5 月</t>
        </is>
      </c>
      <c r="C10" s="8" t="n">
        <v>1150</v>
      </c>
      <c r="D10" s="9" t="n">
        <v>0.022</v>
      </c>
      <c r="E10" s="7">
        <f>ROUND(C10*D10,0)</f>
        <v/>
      </c>
      <c r="F10" s="8" t="n">
        <v>55</v>
      </c>
      <c r="G10" s="7">
        <f>E10*F10</f>
        <v/>
      </c>
      <c r="H10" s="8" t="n">
        <v>1200</v>
      </c>
      <c r="I10" s="7">
        <f>E10*参数!$B$3</f>
        <v/>
      </c>
      <c r="J10" s="7">
        <f>H10+I10</f>
        <v/>
      </c>
      <c r="K10" s="10">
        <f>G10-J10</f>
        <v/>
      </c>
      <c r="L10" s="10">
        <f>SUM($K$6:K10)</f>
        <v/>
      </c>
    </row>
    <row r="11">
      <c r="B11" s="7" t="inlineStr">
        <is>
          <t>第 6 月</t>
        </is>
      </c>
      <c r="C11" s="8" t="n">
        <v>1800</v>
      </c>
      <c r="D11" s="9" t="n">
        <v>0.022</v>
      </c>
      <c r="E11" s="7">
        <f>ROUND(C11*D11,0)</f>
        <v/>
      </c>
      <c r="F11" s="8" t="n">
        <v>55</v>
      </c>
      <c r="G11" s="7">
        <f>E11*F11</f>
        <v/>
      </c>
      <c r="H11" s="8" t="n">
        <v>1200</v>
      </c>
      <c r="I11" s="7">
        <f>E11*参数!$B$3</f>
        <v/>
      </c>
      <c r="J11" s="7">
        <f>H11+I11</f>
        <v/>
      </c>
      <c r="K11" s="10">
        <f>G11-J11</f>
        <v/>
      </c>
      <c r="L11" s="10">
        <f>SUM($K$6:K11)</f>
        <v/>
      </c>
    </row>
    <row r="12">
      <c r="B12" s="7" t="inlineStr">
        <is>
          <t>第 7 月</t>
        </is>
      </c>
      <c r="C12" s="8" t="n">
        <v>2100</v>
      </c>
      <c r="D12" s="9" t="n">
        <v>0.022</v>
      </c>
      <c r="E12" s="7">
        <f>ROUND(C12*D12,0)</f>
        <v/>
      </c>
      <c r="F12" s="8" t="n">
        <v>55</v>
      </c>
      <c r="G12" s="7">
        <f>E12*F12</f>
        <v/>
      </c>
      <c r="H12" s="8" t="n">
        <v>1200</v>
      </c>
      <c r="I12" s="7">
        <f>E12*参数!$B$3</f>
        <v/>
      </c>
      <c r="J12" s="7">
        <f>H12+I12</f>
        <v/>
      </c>
      <c r="K12" s="10">
        <f>G12-J12</f>
        <v/>
      </c>
      <c r="L12" s="10">
        <f>SUM($K$6:K12)</f>
        <v/>
      </c>
    </row>
    <row r="13">
      <c r="B13" s="7" t="inlineStr">
        <is>
          <t>第 8 月</t>
        </is>
      </c>
      <c r="C13" s="8" t="n">
        <v>2350</v>
      </c>
      <c r="D13" s="9" t="n">
        <v>0.022</v>
      </c>
      <c r="E13" s="7">
        <f>ROUND(C13*D13,0)</f>
        <v/>
      </c>
      <c r="F13" s="8" t="n">
        <v>55</v>
      </c>
      <c r="G13" s="7">
        <f>E13*F13</f>
        <v/>
      </c>
      <c r="H13" s="8" t="n">
        <v>1200</v>
      </c>
      <c r="I13" s="7">
        <f>E13*参数!$B$3</f>
        <v/>
      </c>
      <c r="J13" s="7">
        <f>H13+I13</f>
        <v/>
      </c>
      <c r="K13" s="10">
        <f>G13-J13</f>
        <v/>
      </c>
      <c r="L13" s="10">
        <f>SUM($K$6:K13)</f>
        <v/>
      </c>
    </row>
    <row r="14">
      <c r="B14" s="7" t="inlineStr">
        <is>
          <t>第 9 月</t>
        </is>
      </c>
      <c r="C14" s="8" t="n">
        <v>2600</v>
      </c>
      <c r="D14" s="9" t="n">
        <v>0.022</v>
      </c>
      <c r="E14" s="7">
        <f>ROUND(C14*D14,0)</f>
        <v/>
      </c>
      <c r="F14" s="8" t="n">
        <v>55</v>
      </c>
      <c r="G14" s="7">
        <f>E14*F14</f>
        <v/>
      </c>
      <c r="H14" s="8" t="n">
        <v>1200</v>
      </c>
      <c r="I14" s="7">
        <f>E14*参数!$B$3</f>
        <v/>
      </c>
      <c r="J14" s="7">
        <f>H14+I14</f>
        <v/>
      </c>
      <c r="K14" s="10">
        <f>G14-J14</f>
        <v/>
      </c>
      <c r="L14" s="10">
        <f>SUM($K$6:K14)</f>
        <v/>
      </c>
    </row>
    <row r="15">
      <c r="B15" s="7" t="inlineStr">
        <is>
          <t>第 10 月</t>
        </is>
      </c>
      <c r="C15" s="8" t="n">
        <v>2900</v>
      </c>
      <c r="D15" s="9" t="n">
        <v>0.022</v>
      </c>
      <c r="E15" s="7">
        <f>ROUND(C15*D15,0)</f>
        <v/>
      </c>
      <c r="F15" s="8" t="n">
        <v>55</v>
      </c>
      <c r="G15" s="7">
        <f>E15*F15</f>
        <v/>
      </c>
      <c r="H15" s="8" t="n">
        <v>1200</v>
      </c>
      <c r="I15" s="7">
        <f>E15*参数!$B$3</f>
        <v/>
      </c>
      <c r="J15" s="7">
        <f>H15+I15</f>
        <v/>
      </c>
      <c r="K15" s="10">
        <f>G15-J15</f>
        <v/>
      </c>
      <c r="L15" s="10">
        <f>SUM($K$6:K15)</f>
        <v/>
      </c>
    </row>
    <row r="16">
      <c r="B16" s="7" t="inlineStr">
        <is>
          <t>第 11 月</t>
        </is>
      </c>
      <c r="C16" s="8" t="n">
        <v>3200</v>
      </c>
      <c r="D16" s="9" t="n">
        <v>0.022</v>
      </c>
      <c r="E16" s="7">
        <f>ROUND(C16*D16,0)</f>
        <v/>
      </c>
      <c r="F16" s="8" t="n">
        <v>55</v>
      </c>
      <c r="G16" s="7">
        <f>E16*F16</f>
        <v/>
      </c>
      <c r="H16" s="8" t="n">
        <v>1200</v>
      </c>
      <c r="I16" s="7">
        <f>E16*参数!$B$3</f>
        <v/>
      </c>
      <c r="J16" s="7">
        <f>H16+I16</f>
        <v/>
      </c>
      <c r="K16" s="10">
        <f>G16-J16</f>
        <v/>
      </c>
      <c r="L16" s="10">
        <f>SUM($K$6:K16)</f>
        <v/>
      </c>
    </row>
    <row r="17">
      <c r="B17" s="7" t="inlineStr">
        <is>
          <t>第 12 月</t>
        </is>
      </c>
      <c r="C17" s="8" t="n">
        <v>3500</v>
      </c>
      <c r="D17" s="9" t="n">
        <v>0.022</v>
      </c>
      <c r="E17" s="7">
        <f>ROUND(C17*D17,0)</f>
        <v/>
      </c>
      <c r="F17" s="8" t="n">
        <v>55</v>
      </c>
      <c r="G17" s="7">
        <f>E17*F17</f>
        <v/>
      </c>
      <c r="H17" s="8" t="n">
        <v>1200</v>
      </c>
      <c r="I17" s="7">
        <f>E17*参数!$B$3</f>
        <v/>
      </c>
      <c r="J17" s="7">
        <f>H17+I17</f>
        <v/>
      </c>
      <c r="K17" s="10">
        <f>G17-J17</f>
        <v/>
      </c>
      <c r="L17" s="10">
        <f>SUM($K$6:K17)</f>
        <v/>
      </c>
    </row>
    <row r="18">
      <c r="B18" s="11" t="inlineStr">
        <is>
          <t>全年合计</t>
        </is>
      </c>
      <c r="E18" s="11">
        <f>SUM(E6:E17)</f>
        <v/>
      </c>
      <c r="G18" s="12">
        <f>SUM(G6:G17)</f>
        <v/>
      </c>
      <c r="J18" s="12">
        <f>SUM(J6:J17)</f>
        <v/>
      </c>
      <c r="K18" s="12">
        <f>SUM(K6:K17)</f>
        <v/>
      </c>
    </row>
    <row r="20">
      <c r="B20" s="3" t="inlineStr">
        <is>
          <t>结论</t>
        </is>
      </c>
      <c r="C20" s="14">
        <f>"首年总营收 "&amp;TEXT(G18,"#,##0")&amp;" 元　｜　首年净现金流 "&amp;TEXT(K18,"#,##0")&amp;" 元"</f>
        <v/>
      </c>
    </row>
    <row r="21">
      <c r="C21" s="2">
        <f>"累计现金流转正时点："&amp;IF(COUNTIF(L6:L17,"&gt;0")=0,"始终为负",INDEX(B6:B17,MATCH(TRUE,INDEX(L6:L17&gt;0,0),0))&amp;"（第 "&amp;MATCH(TRUE,INDEX(L6:L17&gt;0,0),0)&amp;" 个月）")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1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4" customWidth="1" min="12" max="12"/>
  </cols>
  <sheetData>
    <row r="1">
      <c r="B1" s="1" t="inlineStr">
        <is>
          <t>乐观情景　12 个月现金流推演</t>
        </is>
      </c>
    </row>
    <row r="2">
      <c r="B2" s="5" t="inlineStr">
        <is>
          <t>内容起量 + 裂变飞轮转起来；转化率 3.5%；第 7 个月起加大投入。对应约 3%—5%。</t>
        </is>
      </c>
    </row>
    <row r="3">
      <c r="B3" s="5" t="inlineStr">
        <is>
          <t>黄色格子可直接修改，其余为公式自动计算</t>
        </is>
      </c>
    </row>
    <row r="5">
      <c r="B5" s="6" t="inlineStr">
        <is>
          <t>月份</t>
        </is>
      </c>
      <c r="C5" s="6" t="inlineStr">
        <is>
          <t>月访客数</t>
        </is>
      </c>
      <c r="D5" s="6" t="inlineStr">
        <is>
          <t>付费转化率</t>
        </is>
      </c>
      <c r="E5" s="6" t="inlineStr">
        <is>
          <t>付费人数</t>
        </is>
      </c>
      <c r="F5" s="6" t="inlineStr">
        <is>
          <t>客单价(元)</t>
        </is>
      </c>
      <c r="G5" s="6" t="inlineStr">
        <is>
          <t>月营收(元)</t>
        </is>
      </c>
      <c r="H5" s="6" t="inlineStr">
        <is>
          <t>固定成本(元)</t>
        </is>
      </c>
      <c r="I5" s="6" t="inlineStr">
        <is>
          <t>变动成本(元)</t>
        </is>
      </c>
      <c r="J5" s="6" t="inlineStr">
        <is>
          <t>月成本(元)</t>
        </is>
      </c>
      <c r="K5" s="6" t="inlineStr">
        <is>
          <t>月现金流(元)</t>
        </is>
      </c>
      <c r="L5" s="6" t="inlineStr">
        <is>
          <t>累计现金流(元)</t>
        </is>
      </c>
    </row>
    <row r="6">
      <c r="B6" s="7" t="inlineStr">
        <is>
          <t>第 1 月</t>
        </is>
      </c>
      <c r="C6" s="8" t="n">
        <v>600</v>
      </c>
      <c r="D6" s="9" t="n">
        <v>0.035</v>
      </c>
      <c r="E6" s="7">
        <f>ROUND(C6*D6,0)</f>
        <v/>
      </c>
      <c r="F6" s="8" t="n">
        <v>70</v>
      </c>
      <c r="G6" s="7">
        <f>E6*F6</f>
        <v/>
      </c>
      <c r="H6" s="8" t="n">
        <v>1200</v>
      </c>
      <c r="I6" s="7">
        <f>E6*参数!$B$3</f>
        <v/>
      </c>
      <c r="J6" s="7">
        <f>H6+I6</f>
        <v/>
      </c>
      <c r="K6" s="10">
        <f>G6-J6</f>
        <v/>
      </c>
      <c r="L6" s="10">
        <f>SUM($K$6:K6)</f>
        <v/>
      </c>
    </row>
    <row r="7">
      <c r="B7" s="7" t="inlineStr">
        <is>
          <t>第 2 月</t>
        </is>
      </c>
      <c r="C7" s="8" t="n">
        <v>900</v>
      </c>
      <c r="D7" s="9" t="n">
        <v>0.035</v>
      </c>
      <c r="E7" s="7">
        <f>ROUND(C7*D7,0)</f>
        <v/>
      </c>
      <c r="F7" s="8" t="n">
        <v>70</v>
      </c>
      <c r="G7" s="7">
        <f>E7*F7</f>
        <v/>
      </c>
      <c r="H7" s="8" t="n">
        <v>1200</v>
      </c>
      <c r="I7" s="7">
        <f>E7*参数!$B$3</f>
        <v/>
      </c>
      <c r="J7" s="7">
        <f>H7+I7</f>
        <v/>
      </c>
      <c r="K7" s="10">
        <f>G7-J7</f>
        <v/>
      </c>
      <c r="L7" s="10">
        <f>SUM($K$6:K7)</f>
        <v/>
      </c>
    </row>
    <row r="8">
      <c r="B8" s="7" t="inlineStr">
        <is>
          <t>第 3 月</t>
        </is>
      </c>
      <c r="C8" s="8" t="n">
        <v>1400</v>
      </c>
      <c r="D8" s="9" t="n">
        <v>0.035</v>
      </c>
      <c r="E8" s="7">
        <f>ROUND(C8*D8,0)</f>
        <v/>
      </c>
      <c r="F8" s="8" t="n">
        <v>70</v>
      </c>
      <c r="G8" s="7">
        <f>E8*F8</f>
        <v/>
      </c>
      <c r="H8" s="8" t="n">
        <v>1200</v>
      </c>
      <c r="I8" s="7">
        <f>E8*参数!$B$3</f>
        <v/>
      </c>
      <c r="J8" s="7">
        <f>H8+I8</f>
        <v/>
      </c>
      <c r="K8" s="10">
        <f>G8-J8</f>
        <v/>
      </c>
      <c r="L8" s="10">
        <f>SUM($K$6:K8)</f>
        <v/>
      </c>
    </row>
    <row r="9">
      <c r="B9" s="7" t="inlineStr">
        <is>
          <t>第 4 月</t>
        </is>
      </c>
      <c r="C9" s="8" t="n">
        <v>2100</v>
      </c>
      <c r="D9" s="9" t="n">
        <v>0.035</v>
      </c>
      <c r="E9" s="7">
        <f>ROUND(C9*D9,0)</f>
        <v/>
      </c>
      <c r="F9" s="8" t="n">
        <v>70</v>
      </c>
      <c r="G9" s="7">
        <f>E9*F9</f>
        <v/>
      </c>
      <c r="H9" s="8" t="n">
        <v>1200</v>
      </c>
      <c r="I9" s="7">
        <f>E9*参数!$B$3</f>
        <v/>
      </c>
      <c r="J9" s="7">
        <f>H9+I9</f>
        <v/>
      </c>
      <c r="K9" s="10">
        <f>G9-J9</f>
        <v/>
      </c>
      <c r="L9" s="10">
        <f>SUM($K$6:K9)</f>
        <v/>
      </c>
    </row>
    <row r="10">
      <c r="B10" s="7" t="inlineStr">
        <is>
          <t>第 5 月</t>
        </is>
      </c>
      <c r="C10" s="8" t="n">
        <v>3000</v>
      </c>
      <c r="D10" s="9" t="n">
        <v>0.035</v>
      </c>
      <c r="E10" s="7">
        <f>ROUND(C10*D10,0)</f>
        <v/>
      </c>
      <c r="F10" s="8" t="n">
        <v>70</v>
      </c>
      <c r="G10" s="7">
        <f>E10*F10</f>
        <v/>
      </c>
      <c r="H10" s="8" t="n">
        <v>1200</v>
      </c>
      <c r="I10" s="7">
        <f>E10*参数!$B$3</f>
        <v/>
      </c>
      <c r="J10" s="7">
        <f>H10+I10</f>
        <v/>
      </c>
      <c r="K10" s="10">
        <f>G10-J10</f>
        <v/>
      </c>
      <c r="L10" s="10">
        <f>SUM($K$6:K10)</f>
        <v/>
      </c>
    </row>
    <row r="11">
      <c r="B11" s="7" t="inlineStr">
        <is>
          <t>第 6 月</t>
        </is>
      </c>
      <c r="C11" s="8" t="n">
        <v>4200</v>
      </c>
      <c r="D11" s="9" t="n">
        <v>0.035</v>
      </c>
      <c r="E11" s="7">
        <f>ROUND(C11*D11,0)</f>
        <v/>
      </c>
      <c r="F11" s="8" t="n">
        <v>70</v>
      </c>
      <c r="G11" s="7">
        <f>E11*F11</f>
        <v/>
      </c>
      <c r="H11" s="8" t="n">
        <v>1200</v>
      </c>
      <c r="I11" s="7">
        <f>E11*参数!$B$3</f>
        <v/>
      </c>
      <c r="J11" s="7">
        <f>H11+I11</f>
        <v/>
      </c>
      <c r="K11" s="10">
        <f>G11-J11</f>
        <v/>
      </c>
      <c r="L11" s="10">
        <f>SUM($K$6:K11)</f>
        <v/>
      </c>
    </row>
    <row r="12">
      <c r="B12" s="7" t="inlineStr">
        <is>
          <t>第 7 月</t>
        </is>
      </c>
      <c r="C12" s="8" t="n">
        <v>5600</v>
      </c>
      <c r="D12" s="9" t="n">
        <v>0.035</v>
      </c>
      <c r="E12" s="7">
        <f>ROUND(C12*D12,0)</f>
        <v/>
      </c>
      <c r="F12" s="8" t="n">
        <v>70</v>
      </c>
      <c r="G12" s="7">
        <f>E12*F12</f>
        <v/>
      </c>
      <c r="H12" s="15" t="n">
        <v>3500</v>
      </c>
      <c r="I12" s="7">
        <f>E12*参数!$B$3</f>
        <v/>
      </c>
      <c r="J12" s="7">
        <f>H12+I12</f>
        <v/>
      </c>
      <c r="K12" s="10">
        <f>G12-J12</f>
        <v/>
      </c>
      <c r="L12" s="10">
        <f>SUM($K$6:K12)</f>
        <v/>
      </c>
    </row>
    <row r="13">
      <c r="B13" s="7" t="inlineStr">
        <is>
          <t>第 8 月</t>
        </is>
      </c>
      <c r="C13" s="8" t="n">
        <v>7000</v>
      </c>
      <c r="D13" s="9" t="n">
        <v>0.035</v>
      </c>
      <c r="E13" s="7">
        <f>ROUND(C13*D13,0)</f>
        <v/>
      </c>
      <c r="F13" s="8" t="n">
        <v>70</v>
      </c>
      <c r="G13" s="7">
        <f>E13*F13</f>
        <v/>
      </c>
      <c r="H13" s="15" t="n">
        <v>3500</v>
      </c>
      <c r="I13" s="7">
        <f>E13*参数!$B$3</f>
        <v/>
      </c>
      <c r="J13" s="7">
        <f>H13+I13</f>
        <v/>
      </c>
      <c r="K13" s="10">
        <f>G13-J13</f>
        <v/>
      </c>
      <c r="L13" s="10">
        <f>SUM($K$6:K13)</f>
        <v/>
      </c>
    </row>
    <row r="14">
      <c r="B14" s="7" t="inlineStr">
        <is>
          <t>第 9 月</t>
        </is>
      </c>
      <c r="C14" s="8" t="n">
        <v>8300</v>
      </c>
      <c r="D14" s="9" t="n">
        <v>0.035</v>
      </c>
      <c r="E14" s="7">
        <f>ROUND(C14*D14,0)</f>
        <v/>
      </c>
      <c r="F14" s="8" t="n">
        <v>70</v>
      </c>
      <c r="G14" s="7">
        <f>E14*F14</f>
        <v/>
      </c>
      <c r="H14" s="15" t="n">
        <v>3500</v>
      </c>
      <c r="I14" s="7">
        <f>E14*参数!$B$3</f>
        <v/>
      </c>
      <c r="J14" s="7">
        <f>H14+I14</f>
        <v/>
      </c>
      <c r="K14" s="10">
        <f>G14-J14</f>
        <v/>
      </c>
      <c r="L14" s="10">
        <f>SUM($K$6:K14)</f>
        <v/>
      </c>
    </row>
    <row r="15">
      <c r="B15" s="7" t="inlineStr">
        <is>
          <t>第 10 月</t>
        </is>
      </c>
      <c r="C15" s="8" t="n">
        <v>9500</v>
      </c>
      <c r="D15" s="9" t="n">
        <v>0.035</v>
      </c>
      <c r="E15" s="7">
        <f>ROUND(C15*D15,0)</f>
        <v/>
      </c>
      <c r="F15" s="8" t="n">
        <v>70</v>
      </c>
      <c r="G15" s="7">
        <f>E15*F15</f>
        <v/>
      </c>
      <c r="H15" s="15" t="n">
        <v>3500</v>
      </c>
      <c r="I15" s="7">
        <f>E15*参数!$B$3</f>
        <v/>
      </c>
      <c r="J15" s="7">
        <f>H15+I15</f>
        <v/>
      </c>
      <c r="K15" s="10">
        <f>G15-J15</f>
        <v/>
      </c>
      <c r="L15" s="10">
        <f>SUM($K$6:K15)</f>
        <v/>
      </c>
    </row>
    <row r="16">
      <c r="B16" s="7" t="inlineStr">
        <is>
          <t>第 11 月</t>
        </is>
      </c>
      <c r="C16" s="8" t="n">
        <v>10800</v>
      </c>
      <c r="D16" s="9" t="n">
        <v>0.035</v>
      </c>
      <c r="E16" s="7">
        <f>ROUND(C16*D16,0)</f>
        <v/>
      </c>
      <c r="F16" s="8" t="n">
        <v>70</v>
      </c>
      <c r="G16" s="7">
        <f>E16*F16</f>
        <v/>
      </c>
      <c r="H16" s="15" t="n">
        <v>3500</v>
      </c>
      <c r="I16" s="7">
        <f>E16*参数!$B$3</f>
        <v/>
      </c>
      <c r="J16" s="7">
        <f>H16+I16</f>
        <v/>
      </c>
      <c r="K16" s="10">
        <f>G16-J16</f>
        <v/>
      </c>
      <c r="L16" s="10">
        <f>SUM($K$6:K16)</f>
        <v/>
      </c>
    </row>
    <row r="17">
      <c r="B17" s="7" t="inlineStr">
        <is>
          <t>第 12 月</t>
        </is>
      </c>
      <c r="C17" s="8" t="n">
        <v>12000</v>
      </c>
      <c r="D17" s="9" t="n">
        <v>0.035</v>
      </c>
      <c r="E17" s="7">
        <f>ROUND(C17*D17,0)</f>
        <v/>
      </c>
      <c r="F17" s="8" t="n">
        <v>70</v>
      </c>
      <c r="G17" s="7">
        <f>E17*F17</f>
        <v/>
      </c>
      <c r="H17" s="15" t="n">
        <v>3500</v>
      </c>
      <c r="I17" s="7">
        <f>E17*参数!$B$3</f>
        <v/>
      </c>
      <c r="J17" s="7">
        <f>H17+I17</f>
        <v/>
      </c>
      <c r="K17" s="10">
        <f>G17-J17</f>
        <v/>
      </c>
      <c r="L17" s="10">
        <f>SUM($K$6:K17)</f>
        <v/>
      </c>
    </row>
    <row r="18">
      <c r="B18" s="11" t="inlineStr">
        <is>
          <t>全年合计</t>
        </is>
      </c>
      <c r="E18" s="11">
        <f>SUM(E6:E17)</f>
        <v/>
      </c>
      <c r="G18" s="12">
        <f>SUM(G6:G17)</f>
        <v/>
      </c>
      <c r="J18" s="12">
        <f>SUM(J6:J17)</f>
        <v/>
      </c>
      <c r="K18" s="12">
        <f>SUM(K6:K17)</f>
        <v/>
      </c>
    </row>
    <row r="20">
      <c r="B20" s="3" t="inlineStr">
        <is>
          <t>结论</t>
        </is>
      </c>
      <c r="C20" s="14">
        <f>"首年总营收 "&amp;TEXT(G18,"#,##0")&amp;" 元　｜　首年净现金流 "&amp;TEXT(K18,"#,##0")&amp;" 元"</f>
        <v/>
      </c>
    </row>
    <row r="21">
      <c r="C21" s="2">
        <f>"累计现金流转正时点："&amp;IF(COUNTIF(L6:L17,"&gt;0")=0,"始终为负",INDEX(B6:B17,MATCH(TRUE,INDEX(L6:L17&gt;0,0),0))&amp;"（第 "&amp;MATCH(TRUE,INDEX(L6:L17&gt;0,0),0)&amp;" 个月）")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首年现金流三情景对比</t>
        </is>
      </c>
    </row>
    <row r="3">
      <c r="A3" s="6" t="inlineStr">
        <is>
          <t>对比项</t>
        </is>
      </c>
      <c r="B3" s="6" t="inlineStr">
        <is>
          <t>悲观情景</t>
        </is>
      </c>
      <c r="C3" s="6" t="inlineStr">
        <is>
          <t>中性情景</t>
        </is>
      </c>
      <c r="D3" s="6" t="inlineStr">
        <is>
          <t>乐观情景</t>
        </is>
      </c>
      <c r="E3" s="6" t="inlineStr">
        <is>
          <t>说明</t>
        </is>
      </c>
    </row>
    <row r="4">
      <c r="A4" s="16" t="inlineStr">
        <is>
          <t>对应人群占比</t>
        </is>
      </c>
      <c r="B4" s="7" t="inlineStr">
        <is>
          <t>85%</t>
        </is>
      </c>
      <c r="C4" s="7" t="inlineStr">
        <is>
          <t>约 10%</t>
        </is>
      </c>
      <c r="D4" s="7" t="inlineStr">
        <is>
          <t>约 3%—5%</t>
        </is>
      </c>
      <c r="E4" s="17" t="inlineStr">
        <is>
          <t>Indie Hackers 收入分布</t>
        </is>
      </c>
    </row>
    <row r="5">
      <c r="A5" s="16" t="inlineStr">
        <is>
          <t>年末月访客数</t>
        </is>
      </c>
      <c r="B5" s="7" t="inlineStr">
        <is>
          <t>1,200</t>
        </is>
      </c>
      <c r="C5" s="7" t="inlineStr">
        <is>
          <t>3,500</t>
        </is>
      </c>
      <c r="D5" s="7" t="inlineStr">
        <is>
          <t>12,000</t>
        </is>
      </c>
      <c r="E5" s="17" t="inlineStr">
        <is>
          <t>决定收入的第一变量</t>
        </is>
      </c>
    </row>
    <row r="6">
      <c r="A6" s="16" t="inlineStr">
        <is>
          <t>付费转化率</t>
        </is>
      </c>
      <c r="B6" s="7" t="inlineStr">
        <is>
          <t>1.5%</t>
        </is>
      </c>
      <c r="C6" s="7" t="inlineStr">
        <is>
          <t>2.2%</t>
        </is>
      </c>
      <c r="D6" s="7" t="inlineStr">
        <is>
          <t>3.5%</t>
        </is>
      </c>
      <c r="E6" s="17" t="inlineStr">
        <is>
          <t>消费端基准 9.2%，首年现实值远低于此</t>
        </is>
      </c>
    </row>
    <row r="7">
      <c r="A7" s="16" t="inlineStr">
        <is>
          <t>客单价 ARPPU</t>
        </is>
      </c>
      <c r="B7" s="7" t="inlineStr">
        <is>
          <t>40 元</t>
        </is>
      </c>
      <c r="C7" s="7" t="inlineStr">
        <is>
          <t>55 元</t>
        </is>
      </c>
      <c r="D7" s="7" t="inlineStr">
        <is>
          <t>70 元</t>
        </is>
      </c>
      <c r="E7" s="17" t="inlineStr">
        <is>
          <t>多数人只买 29.9 元体验包</t>
        </is>
      </c>
    </row>
    <row r="8">
      <c r="A8" s="16" t="inlineStr">
        <is>
          <t>年末月营收</t>
        </is>
      </c>
      <c r="B8" s="7" t="inlineStr">
        <is>
          <t>720 元</t>
        </is>
      </c>
      <c r="C8" s="7" t="inlineStr">
        <is>
          <t>4,235 元</t>
        </is>
      </c>
      <c r="D8" s="7" t="inlineStr">
        <is>
          <t>29,400 元</t>
        </is>
      </c>
      <c r="E8" s="17" t="inlineStr"/>
    </row>
    <row r="9">
      <c r="A9" s="16" t="inlineStr">
        <is>
          <t>首年总营收</t>
        </is>
      </c>
      <c r="B9" s="7" t="inlineStr">
        <is>
          <t>约 5,320 元</t>
        </is>
      </c>
      <c r="C9" s="7" t="inlineStr">
        <is>
          <t>约 26,675 元</t>
        </is>
      </c>
      <c r="D9" s="7" t="inlineStr">
        <is>
          <t>约 160,370 元</t>
        </is>
      </c>
      <c r="E9" s="17" t="inlineStr"/>
    </row>
    <row r="10">
      <c r="A10" s="16" t="inlineStr">
        <is>
          <t>首年净现金流</t>
        </is>
      </c>
      <c r="B10" s="7" t="inlineStr">
        <is>
          <t>约 -9,479 元</t>
        </is>
      </c>
      <c r="C10" s="7" t="inlineStr">
        <is>
          <t>约 +10,820 元</t>
        </is>
      </c>
      <c r="D10" s="7" t="inlineStr">
        <is>
          <t>约 +125,297 元</t>
        </is>
      </c>
      <c r="E10" s="17" t="inlineStr"/>
    </row>
    <row r="11">
      <c r="A11" s="16" t="inlineStr">
        <is>
          <t>累计现金流转正时点</t>
        </is>
      </c>
      <c r="B11" s="7" t="inlineStr">
        <is>
          <t>始终为负</t>
        </is>
      </c>
      <c r="C11" s="7" t="inlineStr">
        <is>
          <t>第 7 个月</t>
        </is>
      </c>
      <c r="D11" s="7" t="inlineStr">
        <is>
          <t>第 1 个月</t>
        </is>
      </c>
      <c r="E11" s="17" t="inlineStr"/>
    </row>
    <row r="12">
      <c r="A12" s="16" t="inlineStr">
        <is>
          <t>一句话结论</t>
        </is>
      </c>
      <c r="B12" s="7" t="inlineStr">
        <is>
          <t>活着但没赚到钱</t>
        </is>
      </c>
      <c r="C12" s="7" t="inlineStr">
        <is>
          <t>副业级收入</t>
        </is>
      </c>
      <c r="D12" s="7" t="inlineStr">
        <is>
          <t>做成了，但未暴富</t>
        </is>
      </c>
      <c r="E12" s="17" t="inlineStr">
        <is>
          <t>三档差别 100% 来自获客与转化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40" customWidth="1" min="5" max="5"/>
  </cols>
  <sheetData>
    <row r="1">
      <c r="A1" s="1" t="inlineStr">
        <is>
          <t>每月需要多少访客才不亏钱</t>
        </is>
      </c>
    </row>
    <row r="2">
      <c r="A2" s="5" t="inlineStr">
        <is>
          <t>公式：月固定成本 ÷（客单价 × 转化率）＝ 每月打平所需访客</t>
        </is>
      </c>
    </row>
    <row r="4">
      <c r="A4" s="6" t="inlineStr">
        <is>
          <t>情景</t>
        </is>
      </c>
      <c r="B4" s="6" t="inlineStr">
        <is>
          <t>客单价(元)</t>
        </is>
      </c>
      <c r="C4" s="6" t="inlineStr">
        <is>
          <t>转化率</t>
        </is>
      </c>
      <c r="D4" s="6" t="inlineStr">
        <is>
          <t>每月打平所需访客</t>
        </is>
      </c>
      <c r="E4" s="6" t="inlineStr">
        <is>
          <t>当前设定</t>
        </is>
      </c>
    </row>
    <row r="5">
      <c r="A5" s="18" t="inlineStr">
        <is>
          <t>悲观情景</t>
        </is>
      </c>
      <c r="B5" s="8" t="n">
        <v>40</v>
      </c>
      <c r="C5" s="9" t="n">
        <v>0.015</v>
      </c>
      <c r="D5" s="18">
        <f>ROUND(参数!$B$4/(B5*C5),0)</f>
        <v/>
      </c>
      <c r="E5" s="19" t="inlineStr">
        <is>
          <t>月固定成本取参数表「基础」值</t>
        </is>
      </c>
    </row>
    <row r="6">
      <c r="A6" s="18" t="inlineStr">
        <is>
          <t>中性情景</t>
        </is>
      </c>
      <c r="B6" s="8" t="n">
        <v>55</v>
      </c>
      <c r="C6" s="9" t="n">
        <v>0.022</v>
      </c>
      <c r="D6" s="18">
        <f>ROUND(参数!$B$4/(B6*C6),0)</f>
        <v/>
      </c>
      <c r="E6" s="19" t="inlineStr">
        <is>
          <t>月固定成本取参数表「基础」值</t>
        </is>
      </c>
    </row>
    <row r="7">
      <c r="A7" s="18" t="inlineStr">
        <is>
          <t>乐观情景</t>
        </is>
      </c>
      <c r="B7" s="8" t="n">
        <v>70</v>
      </c>
      <c r="C7" s="9" t="n">
        <v>0.035</v>
      </c>
      <c r="D7" s="18">
        <f>ROUND(参数!$B$4/(B7*C7),0)</f>
        <v/>
      </c>
      <c r="E7" s="19" t="inlineStr">
        <is>
          <t>月固定成本取参数表「基础」值</t>
        </is>
      </c>
    </row>
    <row r="10">
      <c r="A10" s="3" t="inlineStr">
        <is>
          <t>读法：这是你的第一个经营目标，不是「做多少功能」。</t>
        </is>
      </c>
    </row>
    <row r="11">
      <c r="A11" s="2" t="inlineStr">
        <is>
          <t>一个月拿到 1,000 个真实访客，比多做一个功能重要得多。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2026-10-06T10:39:29Z</dcterms:created>
  <dcterms:modified xmlns:dcterms="http://purl.org/dc/terms/" xmlns:xsi="http://www.w3.org/2001/XMLSchema-instance" xsi:type="dcterms:W3CDTF">2026-10-06T10:39:29Z</dcterms:modified>
</cp:coreProperties>
</file>